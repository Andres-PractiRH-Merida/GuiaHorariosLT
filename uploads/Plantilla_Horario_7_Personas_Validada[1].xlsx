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26AB964F9287B89BC20BBEF92B5DFA98E3C080F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 semanal" sheetId="1" r:id="rId1"/>
    <sheet name="Validación cobertura" sheetId="2" r:id="rId2"/>
  </sheets>
  <definedNames>
    <definedName name="_xlnm.Print_Area" localSheetId="0">'Horario semanal'!$A$1:$I$24</definedName>
    <definedName name="_xlnm.Print_Area" localSheetId="1">'Validación cobertura'!$A$1:$E$15</definedName>
  </definedName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</calcChain>
</file>

<file path=xl/sharedStrings.xml><?xml version="1.0" encoding="utf-8"?>
<sst xmlns="http://schemas.openxmlformats.org/spreadsheetml/2006/main" count="119" uniqueCount="53">
  <si>
    <t>HORARIO SEMANAL - 7 PERSONAS | OPERACIÓN 06:00 A 00:00</t>
  </si>
  <si>
    <t>Colaborador</t>
  </si>
  <si>
    <t>Esquema</t>
  </si>
  <si>
    <t>Lun</t>
  </si>
  <si>
    <t>Mar</t>
  </si>
  <si>
    <t>Mié</t>
  </si>
  <si>
    <t>Jue</t>
  </si>
  <si>
    <t>Vie</t>
  </si>
  <si>
    <t>Sáb</t>
  </si>
  <si>
    <t>Dom</t>
  </si>
  <si>
    <t>C1</t>
  </si>
  <si>
    <t>6x1 (45 h)</t>
  </si>
  <si>
    <t>06:00-13:30</t>
  </si>
  <si>
    <t>DESC</t>
  </si>
  <si>
    <t>C2</t>
  </si>
  <si>
    <t>07:30-15:00</t>
  </si>
  <si>
    <t>C3</t>
  </si>
  <si>
    <t>09:00-16:30</t>
  </si>
  <si>
    <t>C4</t>
  </si>
  <si>
    <t>11:00-18:30</t>
  </si>
  <si>
    <t>C5</t>
  </si>
  <si>
    <t>13:00-20:30</t>
  </si>
  <si>
    <t>C6</t>
  </si>
  <si>
    <t>14:30-22:00</t>
  </si>
  <si>
    <t>17:00-00:00</t>
  </si>
  <si>
    <t>14:00-22:00</t>
  </si>
  <si>
    <t>C7</t>
  </si>
  <si>
    <t>6x1 N42 (42 h)</t>
  </si>
  <si>
    <t>RESUMEN DE HORAS</t>
  </si>
  <si>
    <t>Horas programadas</t>
  </si>
  <si>
    <t>Meta semanal</t>
  </si>
  <si>
    <t>Estatus</t>
  </si>
  <si>
    <t>NOTAS OPERATIVAS</t>
  </si>
  <si>
    <t>• Todos los colaboradores operan en esquema 6x1.</t>
  </si>
  <si>
    <t>• El colaborador nocturno trabaja 6 jornadas de 7 horas: 42 horas semanales.</t>
  </si>
  <si>
    <t>• Cuando otro colaborador cubre el descanso del nocturno, cubre 17:00-00:00 (7 horas, jornada N42).</t>
  </si>
  <si>
    <t>• El colaborador de respaldo conserva 45 horas semanales mediante un turno de 8 horas y cuatro turnos de 7.5 horas, además de la cobertura N42 de 7 horas.</t>
  </si>
  <si>
    <t>• Cobertura continua validada de 06:00 a 00:00, todos los días.</t>
  </si>
  <si>
    <t>VALIDACIÓN DE COBERTURA EN INTERVALOS DE 15 MINUTOS</t>
  </si>
  <si>
    <t>Día</t>
  </si>
  <si>
    <t>Minutos sin cobertura</t>
  </si>
  <si>
    <t>Cobertura mínima</t>
  </si>
  <si>
    <t>Máx. tramo solo (min)</t>
  </si>
  <si>
    <t>Resultado</t>
  </si>
  <si>
    <t>Cumple</t>
  </si>
  <si>
    <t>Criterio</t>
  </si>
  <si>
    <t>Cobertura requerida</t>
  </si>
  <si>
    <t>Intervalo de revisión</t>
  </si>
  <si>
    <t>Resultado semanal</t>
  </si>
  <si>
    <t>Sin huecos</t>
  </si>
  <si>
    <t>06:00-00:00</t>
  </si>
  <si>
    <t>15 minutos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</si>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</sst>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5B9BD5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7P" displayName="Horario7P" ref="A4:I11">
  <autoFilter ref="A4:I11" xr:uid="{00000000-0009-0000-0100-000001000000}"/>
  <tableColumns count="9">
    <tableColumn id="1" xr3:uid="{00000000-0010-0000-0000-000001000000}" name="Colaborador"/>
    <tableColumn id="2" xr3:uid="{00000000-0010-0000-0000-000002000000}" name="Esquema"/>
    <tableColumn id="3" xr3:uid="{00000000-0010-0000-0000-000003000000}" name="Lun"/>
    <tableColumn id="4" xr3:uid="{00000000-0010-0000-0000-000004000000}" name="Mar"/>
    <tableColumn id="5" xr3:uid="{00000000-0010-0000-0000-000005000000}" name="Mié"/>
    <tableColumn id="6" xr3:uid="{00000000-0010-0000-0000-000006000000}" name="Jue"/>
    <tableColumn id="7" xr3:uid="{00000000-0010-0000-0000-000007000000}" name="Vie"/>
    <tableColumn id="8" xr3:uid="{00000000-0010-0000-0000-000008000000}" name="Sáb"/>
    <tableColumn id="9" xr3:uid="{00000000-0010-0000-0000-000009000000}" name="Do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showGridLines="0" tabSelected="1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20" customWidth="1"/>
    <col min="3" max="9" width="17" customWidth="1"/>
  </cols>
  <sheetData>
    <row r="1" spans="1:9">
      <c r="A1" s="12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4" spans="1:9" ht="33.950000000000003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3.950000000000003" customHeight="1">
      <c r="A5" s="2" t="s">
        <v>10</v>
      </c>
      <c r="B5" s="2" t="s">
        <v>11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4" t="s">
        <v>13</v>
      </c>
    </row>
    <row r="6" spans="1:9" ht="33.950000000000003" customHeight="1">
      <c r="A6" s="2" t="s">
        <v>14</v>
      </c>
      <c r="B6" s="2" t="s">
        <v>11</v>
      </c>
      <c r="C6" s="3" t="s">
        <v>15</v>
      </c>
      <c r="D6" s="3" t="s">
        <v>15</v>
      </c>
      <c r="E6" s="4" t="s">
        <v>13</v>
      </c>
      <c r="F6" s="3" t="s">
        <v>15</v>
      </c>
      <c r="G6" s="3" t="s">
        <v>15</v>
      </c>
      <c r="H6" s="3" t="s">
        <v>15</v>
      </c>
      <c r="I6" s="3" t="s">
        <v>12</v>
      </c>
    </row>
    <row r="7" spans="1:9" ht="33.950000000000003" customHeight="1">
      <c r="A7" s="2" t="s">
        <v>16</v>
      </c>
      <c r="B7" s="2" t="s">
        <v>11</v>
      </c>
      <c r="C7" s="4" t="s">
        <v>13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</row>
    <row r="8" spans="1:9" ht="33.950000000000003" customHeight="1">
      <c r="A8" s="2" t="s">
        <v>18</v>
      </c>
      <c r="B8" s="2" t="s">
        <v>11</v>
      </c>
      <c r="C8" s="3" t="s">
        <v>19</v>
      </c>
      <c r="D8" s="3" t="s">
        <v>19</v>
      </c>
      <c r="E8" s="3" t="s">
        <v>19</v>
      </c>
      <c r="F8" s="4" t="s">
        <v>13</v>
      </c>
      <c r="G8" s="3" t="s">
        <v>19</v>
      </c>
      <c r="H8" s="3" t="s">
        <v>19</v>
      </c>
      <c r="I8" s="3" t="s">
        <v>19</v>
      </c>
    </row>
    <row r="9" spans="1:9" ht="33.950000000000003" customHeight="1">
      <c r="A9" s="2" t="s">
        <v>20</v>
      </c>
      <c r="B9" s="2" t="s">
        <v>11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21</v>
      </c>
      <c r="H9" s="4" t="s">
        <v>13</v>
      </c>
      <c r="I9" s="5" t="s">
        <v>21</v>
      </c>
    </row>
    <row r="10" spans="1:9" ht="33.950000000000003" customHeight="1">
      <c r="A10" s="2" t="s">
        <v>22</v>
      </c>
      <c r="B10" s="2" t="s">
        <v>11</v>
      </c>
      <c r="C10" s="5" t="s">
        <v>23</v>
      </c>
      <c r="D10" s="6" t="s">
        <v>24</v>
      </c>
      <c r="E10" s="5" t="s">
        <v>23</v>
      </c>
      <c r="F10" s="5" t="s">
        <v>23</v>
      </c>
      <c r="G10" s="4" t="s">
        <v>13</v>
      </c>
      <c r="H10" s="5" t="s">
        <v>25</v>
      </c>
      <c r="I10" s="5" t="s">
        <v>23</v>
      </c>
    </row>
    <row r="11" spans="1:9" ht="33.950000000000003" customHeight="1">
      <c r="A11" s="2" t="s">
        <v>26</v>
      </c>
      <c r="B11" s="2" t="s">
        <v>27</v>
      </c>
      <c r="C11" s="6" t="s">
        <v>24</v>
      </c>
      <c r="D11" s="4" t="s">
        <v>13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</row>
    <row r="14" spans="1:9">
      <c r="A14" s="15" t="s">
        <v>28</v>
      </c>
      <c r="B14" s="14"/>
      <c r="C14" s="14"/>
      <c r="D14" s="14"/>
    </row>
    <row r="15" spans="1:9">
      <c r="A15" s="7" t="s">
        <v>1</v>
      </c>
      <c r="B15" s="7" t="s">
        <v>29</v>
      </c>
      <c r="C15" s="7" t="s">
        <v>30</v>
      </c>
      <c r="D15" s="7" t="s">
        <v>31</v>
      </c>
    </row>
    <row r="16" spans="1:9">
      <c r="A16" s="8" t="s">
        <v>10</v>
      </c>
      <c r="B16" s="8" t="str">
        <f>IF(C5="DESC",0,MOD(TIMEVALUE(RIGHT(C5,5))-TIMEVALUE(LEFT(C5,5)),1)*24)+IF(D5="DESC",0,MOD(TIMEVALUE(RIGHT(D5,5))-TIMEVALUE(LEFT(D5,5)),1)*24)+IF(E5="DESC",0,MOD(TIMEVALUE(RIGHT(E5,5))-TIMEVALUE(LEFT(E5,5)),1)*24)+IF(F5="DESC",0,MOD(TIMEVALUE(RIGHT(F5,5))-TIMEVALUE(LEFT(F5,5)),1)*24)+IF(G5="DESC",0,MOD(TIMEVALUE(RIGHT(G5,5))-TIMEVALUE(LEFT(G5,5)),1)*24)+IF(H5="DESC",0,MOD(TIMEVALUE(RIGHT(H5,5))-TIMEVALUE(LEFT(H5,5)),1)*24)+IF(I5="DESC",0,MOD(TIMEVALUE(RIGHT(I5,5))-TIMEVALUE(LEFT(I5,5)),1)*24)</f>
        <v/>
      </c>
      <c r="C16" s="8">
        <v>45</v>
      </c>
      <c r="D16" s="8" t="str">
        <f>IF(ABS(B16-C16)&lt;0.01,"Cumple","Revisar")</f>
        <v/>
      </c>
    </row>
    <row r="17" spans="1:9">
      <c r="A17" s="8" t="s">
        <v>14</v>
      </c>
      <c r="B17" s="8" t="str">
        <f>IF(C6="DESC",0,MOD(TIMEVALUE(RIGHT(C6,5))-TIMEVALUE(LEFT(C6,5)),1)*24)+IF(D6="DESC",0,MOD(TIMEVALUE(RIGHT(D6,5))-TIMEVALUE(LEFT(D6,5)),1)*24)+IF(E6="DESC",0,MOD(TIMEVALUE(RIGHT(E6,5))-TIMEVALUE(LEFT(E6,5)),1)*24)+IF(F6="DESC",0,MOD(TIMEVALUE(RIGHT(F6,5))-TIMEVALUE(LEFT(F6,5)),1)*24)+IF(G6="DESC",0,MOD(TIMEVALUE(RIGHT(G6,5))-TIMEVALUE(LEFT(G6,5)),1)*24)+IF(H6="DESC",0,MOD(TIMEVALUE(RIGHT(H6,5))-TIMEVALUE(LEFT(H6,5)),1)*24)+IF(I6="DESC",0,MOD(TIMEVALUE(RIGHT(I6,5))-TIMEVALUE(LEFT(I6,5)),1)*24)</f>
        <v/>
      </c>
      <c r="C17" s="8">
        <v>45</v>
      </c>
      <c r="D17" s="8" t="str">
        <f>IF(ABS(B17-C17)&lt;0.01,"Cumple","Revisar")</f>
        <v/>
      </c>
    </row>
    <row r="18" spans="1:9">
      <c r="A18" s="8" t="s">
        <v>16</v>
      </c>
      <c r="B18" s="8" t="str">
        <f>IF(C7="DESC",0,MOD(TIMEVALUE(RIGHT(C7,5))-TIMEVALUE(LEFT(C7,5)),1)*24)+IF(D7="DESC",0,MOD(TIMEVALUE(RIGHT(D7,5))-TIMEVALUE(LEFT(D7,5)),1)*24)+IF(E7="DESC",0,MOD(TIMEVALUE(RIGHT(E7,5))-TIMEVALUE(LEFT(E7,5)),1)*24)+IF(F7="DESC",0,MOD(TIMEVALUE(RIGHT(F7,5))-TIMEVALUE(LEFT(F7,5)),1)*24)+IF(G7="DESC",0,MOD(TIMEVALUE(RIGHT(G7,5))-TIMEVALUE(LEFT(G7,5)),1)*24)+IF(H7="DESC",0,MOD(TIMEVALUE(RIGHT(H7,5))-TIMEVALUE(LEFT(H7,5)),1)*24)+IF(I7="DESC",0,MOD(TIMEVALUE(RIGHT(I7,5))-TIMEVALUE(LEFT(I7,5)),1)*24)</f>
        <v/>
      </c>
      <c r="C18" s="8">
        <v>45</v>
      </c>
      <c r="D18" s="8" t="str">
        <f>IF(ABS(B18-C18)&lt;0.01,"Cumple","Revisar")</f>
        <v/>
      </c>
    </row>
    <row r="19" spans="1:9">
      <c r="A19" s="8" t="s">
        <v>18</v>
      </c>
      <c r="B19" s="8" t="str">
        <f>IF(C8="DESC",0,MOD(TIMEVALUE(RIGHT(C8,5))-TIMEVALUE(LEFT(C8,5)),1)*24)+IF(D8="DESC",0,MOD(TIMEVALUE(RIGHT(D8,5))-TIMEVALUE(LEFT(D8,5)),1)*24)+IF(E8="DESC",0,MOD(TIMEVALUE(RIGHT(E8,5))-TIMEVALUE(LEFT(E8,5)),1)*24)+IF(F8="DESC",0,MOD(TIMEVALUE(RIGHT(F8,5))-TIMEVALUE(LEFT(F8,5)),1)*24)+IF(G8="DESC",0,MOD(TIMEVALUE(RIGHT(G8,5))-TIMEVALUE(LEFT(G8,5)),1)*24)+IF(H8="DESC",0,MOD(TIMEVALUE(RIGHT(H8,5))-TIMEVALUE(LEFT(H8,5)),1)*24)+IF(I8="DESC",0,MOD(TIMEVALUE(RIGHT(I8,5))-TIMEVALUE(LEFT(I8,5)),1)*24)</f>
        <v/>
      </c>
      <c r="C19" s="8">
        <v>45</v>
      </c>
      <c r="D19" s="8" t="str">
        <f>IF(ABS(B19-C19)&lt;0.01,"Cumple","Revisar")</f>
        <v/>
      </c>
    </row>
    <row r="20" spans="1:9">
      <c r="A20" s="8" t="s">
        <v>20</v>
      </c>
      <c r="B20" s="8" t="str">
        <f>IF(C9="DESC",0,MOD(TIMEVALUE(RIGHT(C9,5))-TIMEVALUE(LEFT(C9,5)),1)*24)+IF(D9="DESC",0,MOD(TIMEVALUE(RIGHT(D9,5))-TIMEVALUE(LEFT(D9,5)),1)*24)+IF(E9="DESC",0,MOD(TIMEVALUE(RIGHT(E9,5))-TIMEVALUE(LEFT(E9,5)),1)*24)+IF(F9="DESC",0,MOD(TIMEVALUE(RIGHT(F9,5))-TIMEVALUE(LEFT(F9,5)),1)*24)+IF(G9="DESC",0,MOD(TIMEVALUE(RIGHT(G9,5))-TIMEVALUE(LEFT(G9,5)),1)*24)+IF(H9="DESC",0,MOD(TIMEVALUE(RIGHT(H9,5))-TIMEVALUE(LEFT(H9,5)),1)*24)+IF(I9="DESC",0,MOD(TIMEVALUE(RIGHT(I9,5))-TIMEVALUE(LEFT(I9,5)),1)*24)</f>
        <v/>
      </c>
      <c r="C20" s="8">
        <v>45</v>
      </c>
      <c r="D20" s="8" t="str">
        <f>IF(ABS(B20-C20)&lt;0.01,"Cumple","Revisar")</f>
        <v/>
      </c>
    </row>
    <row r="21" spans="1:9">
      <c r="A21" s="8" t="s">
        <v>22</v>
      </c>
      <c r="B21" s="8" t="str">
        <f>IF(C10="DESC",0,MOD(TIMEVALUE(RIGHT(C10,5))-TIMEVALUE(LEFT(C10,5)),1)*24)+IF(D10="DESC",0,MOD(TIMEVALUE(RIGHT(D10,5))-TIMEVALUE(LEFT(D10,5)),1)*24)+IF(E10="DESC",0,MOD(TIMEVALUE(RIGHT(E10,5))-TIMEVALUE(LEFT(E10,5)),1)*24)+IF(F10="DESC",0,MOD(TIMEVALUE(RIGHT(F10,5))-TIMEVALUE(LEFT(F10,5)),1)*24)+IF(G10="DESC",0,MOD(TIMEVALUE(RIGHT(G10,5))-TIMEVALUE(LEFT(G10,5)),1)*24)+IF(H10="DESC",0,MOD(TIMEVALUE(RIGHT(H10,5))-TIMEVALUE(LEFT(H10,5)),1)*24)+IF(I10="DESC",0,MOD(TIMEVALUE(RIGHT(I10,5))-TIMEVALUE(LEFT(I10,5)),1)*24)</f>
        <v/>
      </c>
      <c r="C21" s="8">
        <v>45</v>
      </c>
      <c r="D21" s="8" t="str">
        <f>IF(ABS(B21-C21)&lt;0.01,"Cumple","Revisar")</f>
        <v/>
      </c>
    </row>
    <row r="22" spans="1:9">
      <c r="A22" s="8" t="s">
        <v>26</v>
      </c>
      <c r="B22" s="8" t="str">
        <f>IF(C11="DESC",0,MOD(TIMEVALUE(RIGHT(C11,5))-TIMEVALUE(LEFT(C11,5)),1)*24)+IF(D11="DESC",0,MOD(TIMEVALUE(RIGHT(D11,5))-TIMEVALUE(LEFT(D11,5)),1)*24)+IF(E11="DESC",0,MOD(TIMEVALUE(RIGHT(E11,5))-TIMEVALUE(LEFT(E11,5)),1)*24)+IF(F11="DESC",0,MOD(TIMEVALUE(RIGHT(F11,5))-TIMEVALUE(LEFT(F11,5)),1)*24)+IF(G11="DESC",0,MOD(TIMEVALUE(RIGHT(G11,5))-TIMEVALUE(LEFT(G11,5)),1)*24)+IF(H11="DESC",0,MOD(TIMEVALUE(RIGHT(H11,5))-TIMEVALUE(LEFT(H11,5)),1)*24)+IF(I11="DESC",0,MOD(TIMEVALUE(RIGHT(I11,5))-TIMEVALUE(LEFT(I11,5)),1)*24)</f>
        <v/>
      </c>
      <c r="C22" s="8">
        <v>42</v>
      </c>
      <c r="D22" s="8" t="str">
        <f>IF(ABS(B22-C22)&lt;0.01,"Cumple","Revisar")</f>
        <v/>
      </c>
    </row>
    <row r="25" spans="1:9">
      <c r="A25" s="15" t="s">
        <v>32</v>
      </c>
      <c r="B25" s="14"/>
      <c r="C25" s="14"/>
      <c r="D25" s="14"/>
      <c r="E25" s="14"/>
      <c r="F25" s="14"/>
      <c r="G25" s="14"/>
      <c r="H25" s="14"/>
      <c r="I25" s="14"/>
    </row>
    <row r="26" spans="1:9" ht="27.95" customHeight="1">
      <c r="A26" s="11" t="s">
        <v>33</v>
      </c>
      <c r="B26" s="14"/>
      <c r="C26" s="14"/>
      <c r="D26" s="14"/>
      <c r="E26" s="14"/>
      <c r="F26" s="14"/>
      <c r="G26" s="14"/>
      <c r="H26" s="14"/>
      <c r="I26" s="14"/>
    </row>
    <row r="27" spans="1:9" ht="27.95" customHeight="1">
      <c r="A27" s="11" t="s">
        <v>34</v>
      </c>
      <c r="B27" s="14"/>
      <c r="C27" s="14"/>
      <c r="D27" s="14"/>
      <c r="E27" s="14"/>
      <c r="F27" s="14"/>
      <c r="G27" s="14"/>
      <c r="H27" s="14"/>
      <c r="I27" s="14"/>
    </row>
    <row r="28" spans="1:9" ht="27.95" customHeight="1">
      <c r="A28" s="11" t="s">
        <v>35</v>
      </c>
      <c r="B28" s="14"/>
      <c r="C28" s="14"/>
      <c r="D28" s="14"/>
      <c r="E28" s="14"/>
      <c r="F28" s="14"/>
      <c r="G28" s="14"/>
      <c r="H28" s="14"/>
      <c r="I28" s="14"/>
    </row>
    <row r="29" spans="1:9" ht="27.95" customHeight="1">
      <c r="A29" s="11" t="s">
        <v>36</v>
      </c>
      <c r="B29" s="14"/>
      <c r="C29" s="14"/>
      <c r="D29" s="14"/>
      <c r="E29" s="14"/>
      <c r="F29" s="14"/>
      <c r="G29" s="14"/>
      <c r="H29" s="14"/>
      <c r="I29" s="14"/>
    </row>
    <row r="30" spans="1:9" ht="27.95" customHeight="1">
      <c r="A30" s="11" t="s">
        <v>37</v>
      </c>
      <c r="B30" s="14"/>
      <c r="C30" s="14"/>
      <c r="D30" s="14"/>
      <c r="E30" s="14"/>
      <c r="F30" s="14"/>
      <c r="G30" s="14"/>
      <c r="H30" s="14"/>
      <c r="I30" s="14"/>
    </row>
  </sheetData>
  <mergeCells count="8">
    <mergeCell ref="A30:I30"/>
    <mergeCell ref="A14:D14"/>
    <mergeCell ref="A29:I29"/>
    <mergeCell ref="A25:I25"/>
    <mergeCell ref="A28:I28"/>
    <mergeCell ref="A1:I2"/>
    <mergeCell ref="A27:I27"/>
    <mergeCell ref="A26:I26"/>
  </mergeCells>
  <conditionalFormatting sqref="D16:D22">
    <cfRule type="cellIs" dxfId="0" priority="1" operator="equal">
      <formula>"Cumple"</formula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"/>
  <sheetViews>
    <sheetView showGridLines="0" workbookViewId="0"/>
  </sheetViews>
  <sheetFormatPr defaultRowHeight="15"/>
  <cols>
    <col min="1" max="1" width="18" customWidth="1"/>
    <col min="2" max="2" width="24" customWidth="1"/>
    <col min="3" max="3" width="20" customWidth="1"/>
    <col min="4" max="4" width="24" customWidth="1"/>
    <col min="5" max="5" width="16" customWidth="1"/>
  </cols>
  <sheetData>
    <row r="1" spans="1:5">
      <c r="A1" s="13" t="s">
        <v>38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4" spans="1:5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</row>
    <row r="5" spans="1:5">
      <c r="A5" s="8" t="s">
        <v>3</v>
      </c>
      <c r="B5" s="8">
        <v>0</v>
      </c>
      <c r="C5" s="8">
        <v>1</v>
      </c>
      <c r="D5" s="8">
        <v>120</v>
      </c>
      <c r="E5" s="10" t="s">
        <v>44</v>
      </c>
    </row>
    <row r="6" spans="1:5">
      <c r="A6" s="8" t="s">
        <v>4</v>
      </c>
      <c r="B6" s="8">
        <v>0</v>
      </c>
      <c r="C6" s="8">
        <v>1</v>
      </c>
      <c r="D6" s="8">
        <v>210</v>
      </c>
      <c r="E6" s="10" t="s">
        <v>44</v>
      </c>
    </row>
    <row r="7" spans="1:5">
      <c r="A7" s="8" t="s">
        <v>5</v>
      </c>
      <c r="B7" s="8">
        <v>0</v>
      </c>
      <c r="C7" s="8">
        <v>1</v>
      </c>
      <c r="D7" s="8">
        <v>180</v>
      </c>
      <c r="E7" s="10" t="s">
        <v>44</v>
      </c>
    </row>
    <row r="8" spans="1:5">
      <c r="A8" s="8" t="s">
        <v>6</v>
      </c>
      <c r="B8" s="8">
        <v>0</v>
      </c>
      <c r="C8" s="8">
        <v>1</v>
      </c>
      <c r="D8" s="8">
        <v>120</v>
      </c>
      <c r="E8" s="10" t="s">
        <v>44</v>
      </c>
    </row>
    <row r="9" spans="1:5">
      <c r="A9" s="8" t="s">
        <v>7</v>
      </c>
      <c r="B9" s="8">
        <v>0</v>
      </c>
      <c r="C9" s="8">
        <v>1</v>
      </c>
      <c r="D9" s="8">
        <v>210</v>
      </c>
      <c r="E9" s="10" t="s">
        <v>44</v>
      </c>
    </row>
    <row r="10" spans="1:5">
      <c r="A10" s="8" t="s">
        <v>8</v>
      </c>
      <c r="B10" s="8">
        <v>0</v>
      </c>
      <c r="C10" s="8">
        <v>1</v>
      </c>
      <c r="D10" s="8">
        <v>120</v>
      </c>
      <c r="E10" s="10" t="s">
        <v>44</v>
      </c>
    </row>
    <row r="11" spans="1:5">
      <c r="A11" s="8" t="s">
        <v>9</v>
      </c>
      <c r="B11" s="8">
        <v>0</v>
      </c>
      <c r="C11" s="8">
        <v>1</v>
      </c>
      <c r="D11" s="8">
        <v>180</v>
      </c>
      <c r="E11" s="10" t="s">
        <v>44</v>
      </c>
    </row>
    <row r="14" spans="1:5">
      <c r="A14" s="7" t="s">
        <v>45</v>
      </c>
      <c r="B14" s="7" t="s">
        <v>46</v>
      </c>
      <c r="C14" s="7" t="s">
        <v>47</v>
      </c>
      <c r="D14" s="7" t="s">
        <v>48</v>
      </c>
    </row>
    <row r="15" spans="1:5">
      <c r="A15" s="8" t="s">
        <v>49</v>
      </c>
      <c r="B15" s="8" t="s">
        <v>50</v>
      </c>
      <c r="C15" s="8" t="s">
        <v>51</v>
      </c>
      <c r="D15" s="8" t="s">
        <v>52</v>
      </c>
    </row>
  </sheetData>
  <mergeCells count="1">
    <mergeCell ref="A1:E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Props1.xml><?xml version="1.0" encoding="utf-8"?>
<ds:datastoreItem xmlns:ds="http://schemas.openxmlformats.org/officeDocument/2006/customXml" ds:itemID="{BDA5F338-FF29-40BB-B99C-C538DA24579A}"/>
</file>

<file path=customXml/itemProps2.xml><?xml version="1.0" encoding="utf-8"?>
<ds:datastoreItem xmlns:ds="http://schemas.openxmlformats.org/officeDocument/2006/customXml" ds:itemID="{2FF73D04-38E9-4E71-BD77-2C09CBFF981F}"/>
</file>

<file path=customXml/itemProps3.xml><?xml version="1.0" encoding="utf-8"?>
<ds:datastoreItem xmlns:ds="http://schemas.openxmlformats.org/officeDocument/2006/customXml" ds:itemID="{31AA8FEF-0667-4A6E-8FB9-714C698DB39D}"/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Shadia Hussein Mroue Ruiz</cp:lastModifiedBy>
  <cp:revision/>
  <dcterms:created xsi:type="dcterms:W3CDTF">2026-09-17T23:32:00Z</dcterms:created>
  <dcterms:modified xsi:type="dcterms:W3CDTF">2026-09-17T23:33:35Z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