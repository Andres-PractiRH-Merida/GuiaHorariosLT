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emcom-my.sharepoint.com/personal/shadia_mroue_oxxo_com/Documents/Documentos/Copilot/Creado/"/>
    </mc:Choice>
  </mc:AlternateContent>
  <xr:revisionPtr revIDLastSave="0" documentId="8_{73361BDF-9F9D-4542-9B6A-3FC0AE66C3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rario semanal" sheetId="1" r:id="rId1"/>
    <sheet name="Validación cobertura" sheetId="2" r:id="rId2"/>
    <sheet name="Matriz de referencia" sheetId="3" r:id="rId3"/>
  </sheets>
  <definedNames>
    <definedName name="_xlnm.Print_Area" localSheetId="0">'Horario semanal'!$A$1:$K$29</definedName>
    <definedName name="_xlnm.Print_Area" localSheetId="1">'Validación cobertura'!$A$1:$G$15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D20" i="1" s="1"/>
  <c r="B19" i="1"/>
  <c r="D19" i="1" s="1"/>
  <c r="B18" i="1"/>
  <c r="D18" i="1" s="1"/>
  <c r="B17" i="1"/>
  <c r="D17" i="1" s="1"/>
  <c r="B16" i="1"/>
  <c r="D16" i="1" s="1"/>
  <c r="B15" i="1"/>
  <c r="D15" i="1" s="1"/>
</calcChain>
</file>

<file path=xl/sharedStrings.xml><?xml version="1.0" encoding="utf-8"?>
<sst xmlns="http://schemas.openxmlformats.org/spreadsheetml/2006/main" count="149" uniqueCount="76">
  <si>
    <t>PLANTILLA 24 HORAS - 6 PERSONAS | 6x1 | UN SOLO NOCTURNO</t>
  </si>
  <si>
    <t>Colaborador</t>
  </si>
  <si>
    <t>Esquema</t>
  </si>
  <si>
    <t>Turno base</t>
  </si>
  <si>
    <t>Meta</t>
  </si>
  <si>
    <t>Lun</t>
  </si>
  <si>
    <t>Mar</t>
  </si>
  <si>
    <t>Mié</t>
  </si>
  <si>
    <t>Jue</t>
  </si>
  <si>
    <t>Vie</t>
  </si>
  <si>
    <t>Sáb</t>
  </si>
  <si>
    <t>Dom</t>
  </si>
  <si>
    <t>C1</t>
  </si>
  <si>
    <t>6x1</t>
  </si>
  <si>
    <t>Diurno</t>
  </si>
  <si>
    <t>45 h</t>
  </si>
  <si>
    <t>DESC</t>
  </si>
  <si>
    <t>06:00-13:30</t>
  </si>
  <si>
    <t>C2</t>
  </si>
  <si>
    <t>C3</t>
  </si>
  <si>
    <t>Mixto / cobertura</t>
  </si>
  <si>
    <t>08:00-15:30</t>
  </si>
  <si>
    <t>10:00-17:30</t>
  </si>
  <si>
    <t>13:30-21:00</t>
  </si>
  <si>
    <t>C4</t>
  </si>
  <si>
    <t>Mixto</t>
  </si>
  <si>
    <t>15:30-23:00</t>
  </si>
  <si>
    <t>C5</t>
  </si>
  <si>
    <t>Mixto / respaldo N42</t>
  </si>
  <si>
    <t>15:00-23:00</t>
  </si>
  <si>
    <t>23:00-06:00</t>
  </si>
  <si>
    <t>C6</t>
  </si>
  <si>
    <t>Nocturno</t>
  </si>
  <si>
    <t>42 h</t>
  </si>
  <si>
    <t>RESUMEN DE HORAS</t>
  </si>
  <si>
    <t>Horas programadas</t>
  </si>
  <si>
    <t>Meta semanal</t>
  </si>
  <si>
    <t>Estatus</t>
  </si>
  <si>
    <t>REGLAS Y RESULTADO DE OPTIMIZACIÓN</t>
  </si>
  <si>
    <t>• C6 es la única persona asignada al turno nocturno base: 23:00-06:00, 6 días, 42 horas semanales.</t>
  </si>
  <si>
    <t>• El domingo, día de descanso de C6, C5 cubre exactamente 23:00-06:00 (7 horas) y mantiene 45 horas semanales.</t>
  </si>
  <si>
    <t>• No hay traslapes nocturnos: durante 23:00-06:00 permanece exactamente una persona.</t>
  </si>
  <si>
    <t>• Cobertura continua 24/7, sin huecos, revisada en intervalos de 15 minutos.</t>
  </si>
  <si>
    <t>• Fuera del nocturno, la propuesta concentra los traslapes para reducir turnos solos; resultado validado: 31.5 horas semanales con una sola persona.</t>
  </si>
  <si>
    <t>• Los traslapes se concentran entre 06:00 y 23:00 para reducir turnos solos; no hay jornadas con salida a las 04:00.</t>
  </si>
  <si>
    <t>VALIDACIÓN 24/7 | UN SOLO NOCTURNO | INTERVALOS DE 15 MINUTOS</t>
  </si>
  <si>
    <t>Día</t>
  </si>
  <si>
    <t>Minutos sin cobertura</t>
  </si>
  <si>
    <t>Cobertura mínima</t>
  </si>
  <si>
    <t>Cobertura máxima</t>
  </si>
  <si>
    <t>Minutos solo fuera de noche</t>
  </si>
  <si>
    <t>Máx. tramo solo diurno/mixto</t>
  </si>
  <si>
    <t>Resultado</t>
  </si>
  <si>
    <t>Cumple</t>
  </si>
  <si>
    <t>Resultado semanal</t>
  </si>
  <si>
    <t>Horas sin cobertura</t>
  </si>
  <si>
    <t>Solo fuera de noche</t>
  </si>
  <si>
    <t>Nocturno simultáneo</t>
  </si>
  <si>
    <t>24/7</t>
  </si>
  <si>
    <t>Exactamente 1 persona</t>
  </si>
  <si>
    <t>CUMPLE</t>
  </si>
  <si>
    <t>MATRIZ DE TURNOS UTILIZADA</t>
  </si>
  <si>
    <t>Tipo</t>
  </si>
  <si>
    <t>Jornada 6x1</t>
  </si>
  <si>
    <t>Duración diaria</t>
  </si>
  <si>
    <t>Horarios usados</t>
  </si>
  <si>
    <t>Clasificación</t>
  </si>
  <si>
    <t>7.5 h</t>
  </si>
  <si>
    <t>06:00-13:30 / 08:00-15:30 / 10:00-17:30</t>
  </si>
  <si>
    <t>Termina hasta 20:00</t>
  </si>
  <si>
    <t>13:30-21:00 / 15:30-23:00</t>
  </si>
  <si>
    <t>Termina entre 20:00 y 23:30</t>
  </si>
  <si>
    <t>7 h</t>
  </si>
  <si>
    <t>Una persona; cruza madrugada</t>
  </si>
  <si>
    <t>Fuente interna de referencia</t>
  </si>
  <si>
    <t>26-06-26 Matriz Turnos TREO.xlsx / pestaña 45-45-42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</si>
</sst>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0"/>
      <color rgb="FF404040"/>
      <name val="Calibri"/>
    </font>
    <font>
      <sz val="10"/>
      <color rgb="FF404040"/>
      <name val="Calibri"/>
    </font>
    <font>
      <b/>
      <sz val="16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4478F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5B9BD5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9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rario24h6PUnNocturno" displayName="Horario24h6PUnNocturno" ref="A4:K10">
  <autoFilter ref="A4:K10" xr:uid="{00000000-0009-0000-0100-000001000000}"/>
  <tableColumns count="11">
    <tableColumn id="1" xr3:uid="{00000000-0010-0000-0000-000001000000}" name="Colaborador"/>
    <tableColumn id="2" xr3:uid="{00000000-0010-0000-0000-000002000000}" name="Esquema"/>
    <tableColumn id="3" xr3:uid="{00000000-0010-0000-0000-000003000000}" name="Turno base"/>
    <tableColumn id="4" xr3:uid="{00000000-0010-0000-0000-000004000000}" name="Meta"/>
    <tableColumn id="5" xr3:uid="{00000000-0010-0000-0000-000005000000}" name="Lun"/>
    <tableColumn id="6" xr3:uid="{00000000-0010-0000-0000-000006000000}" name="Mar"/>
    <tableColumn id="7" xr3:uid="{00000000-0010-0000-0000-000007000000}" name="Mié"/>
    <tableColumn id="8" xr3:uid="{00000000-0010-0000-0000-000008000000}" name="Jue"/>
    <tableColumn id="9" xr3:uid="{00000000-0010-0000-0000-000009000000}" name="Vie"/>
    <tableColumn id="10" xr3:uid="{00000000-0010-0000-0000-00000A000000}" name="Sáb"/>
    <tableColumn id="11" xr3:uid="{00000000-0010-0000-0000-00000B000000}" name="Dom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showGridLines="0" tabSelected="1" workbookViewId="0">
      <pane xSplit="4" ySplit="4" topLeftCell="F5" activePane="bottomRight" state="frozen"/>
      <selection pane="topRight"/>
      <selection pane="bottomLeft"/>
      <selection pane="bottomRight" activeCell="K7" sqref="K7"/>
    </sheetView>
  </sheetViews>
  <sheetFormatPr baseColWidth="10" defaultColWidth="8.7265625" defaultRowHeight="14.5" x14ac:dyDescent="0.35"/>
  <cols>
    <col min="1" max="1" width="16" customWidth="1"/>
    <col min="2" max="2" width="12" customWidth="1"/>
    <col min="3" max="3" width="22" customWidth="1"/>
    <col min="4" max="4" width="10" customWidth="1"/>
    <col min="5" max="11" width="17" customWidth="1"/>
  </cols>
  <sheetData>
    <row r="1" spans="1:11" x14ac:dyDescent="0.35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40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40" customHeight="1" x14ac:dyDescent="0.35">
      <c r="A5" s="2" t="s">
        <v>12</v>
      </c>
      <c r="B5" s="2" t="s">
        <v>13</v>
      </c>
      <c r="C5" s="2" t="s">
        <v>14</v>
      </c>
      <c r="D5" s="2" t="s">
        <v>15</v>
      </c>
      <c r="E5" s="3" t="s">
        <v>16</v>
      </c>
      <c r="F5" s="4" t="s">
        <v>17</v>
      </c>
      <c r="G5" s="4" t="s">
        <v>17</v>
      </c>
      <c r="H5" s="4" t="s">
        <v>17</v>
      </c>
      <c r="I5" s="4" t="s">
        <v>17</v>
      </c>
      <c r="J5" s="4" t="s">
        <v>17</v>
      </c>
      <c r="K5" s="4" t="s">
        <v>17</v>
      </c>
    </row>
    <row r="6" spans="1:11" ht="40" customHeight="1" x14ac:dyDescent="0.35">
      <c r="A6" s="2" t="s">
        <v>18</v>
      </c>
      <c r="B6" s="2" t="s">
        <v>13</v>
      </c>
      <c r="C6" s="2" t="s">
        <v>14</v>
      </c>
      <c r="D6" s="2" t="s">
        <v>15</v>
      </c>
      <c r="E6" s="4" t="s">
        <v>17</v>
      </c>
      <c r="F6" s="3" t="s">
        <v>16</v>
      </c>
      <c r="G6" s="4" t="s">
        <v>21</v>
      </c>
      <c r="H6" s="4" t="s">
        <v>21</v>
      </c>
      <c r="I6" s="4" t="s">
        <v>17</v>
      </c>
      <c r="J6" s="4" t="s">
        <v>21</v>
      </c>
      <c r="K6" s="4" t="s">
        <v>21</v>
      </c>
    </row>
    <row r="7" spans="1:11" ht="40" customHeight="1" x14ac:dyDescent="0.35">
      <c r="A7" s="2" t="s">
        <v>19</v>
      </c>
      <c r="B7" s="2" t="s">
        <v>13</v>
      </c>
      <c r="C7" s="2" t="s">
        <v>20</v>
      </c>
      <c r="D7" s="2" t="s">
        <v>15</v>
      </c>
      <c r="E7" s="4" t="s">
        <v>21</v>
      </c>
      <c r="F7" s="4" t="s">
        <v>21</v>
      </c>
      <c r="G7" s="3" t="s">
        <v>16</v>
      </c>
      <c r="H7" s="5" t="s">
        <v>23</v>
      </c>
      <c r="I7" s="4" t="s">
        <v>22</v>
      </c>
      <c r="J7" s="5" t="s">
        <v>23</v>
      </c>
      <c r="K7" s="5" t="s">
        <v>23</v>
      </c>
    </row>
    <row r="8" spans="1:11" ht="40" customHeight="1" x14ac:dyDescent="0.35">
      <c r="A8" s="2" t="s">
        <v>24</v>
      </c>
      <c r="B8" s="2" t="s">
        <v>13</v>
      </c>
      <c r="C8" s="2" t="s">
        <v>25</v>
      </c>
      <c r="D8" s="2" t="s">
        <v>15</v>
      </c>
      <c r="E8" s="5" t="s">
        <v>23</v>
      </c>
      <c r="F8" s="5" t="s">
        <v>23</v>
      </c>
      <c r="G8" s="5" t="s">
        <v>23</v>
      </c>
      <c r="H8" s="3" t="s">
        <v>16</v>
      </c>
      <c r="I8" s="5" t="s">
        <v>23</v>
      </c>
      <c r="J8" s="5" t="s">
        <v>26</v>
      </c>
      <c r="K8" s="5" t="s">
        <v>26</v>
      </c>
    </row>
    <row r="9" spans="1:11" ht="40" customHeight="1" x14ac:dyDescent="0.35">
      <c r="A9" s="2" t="s">
        <v>27</v>
      </c>
      <c r="B9" s="2" t="s">
        <v>13</v>
      </c>
      <c r="C9" s="2" t="s">
        <v>28</v>
      </c>
      <c r="D9" s="2" t="s">
        <v>15</v>
      </c>
      <c r="E9" s="5" t="s">
        <v>29</v>
      </c>
      <c r="F9" s="5" t="s">
        <v>26</v>
      </c>
      <c r="G9" s="5" t="s">
        <v>26</v>
      </c>
      <c r="H9" s="5" t="s">
        <v>26</v>
      </c>
      <c r="I9" s="5" t="s">
        <v>26</v>
      </c>
      <c r="J9" s="3" t="s">
        <v>16</v>
      </c>
      <c r="K9" s="6" t="s">
        <v>30</v>
      </c>
    </row>
    <row r="10" spans="1:11" ht="40" customHeight="1" x14ac:dyDescent="0.35">
      <c r="A10" s="2" t="s">
        <v>31</v>
      </c>
      <c r="B10" s="2" t="s">
        <v>13</v>
      </c>
      <c r="C10" s="2" t="s">
        <v>32</v>
      </c>
      <c r="D10" s="2" t="s">
        <v>33</v>
      </c>
      <c r="E10" s="6" t="s">
        <v>30</v>
      </c>
      <c r="F10" s="6" t="s">
        <v>30</v>
      </c>
      <c r="G10" s="6" t="s">
        <v>30</v>
      </c>
      <c r="H10" s="6" t="s">
        <v>30</v>
      </c>
      <c r="I10" s="6" t="s">
        <v>30</v>
      </c>
      <c r="J10" s="6" t="s">
        <v>30</v>
      </c>
      <c r="K10" s="3" t="s">
        <v>16</v>
      </c>
    </row>
    <row r="13" spans="1:11" x14ac:dyDescent="0.35">
      <c r="A13" s="16" t="s">
        <v>34</v>
      </c>
      <c r="B13" s="14"/>
      <c r="C13" s="14"/>
      <c r="D13" s="14"/>
    </row>
    <row r="14" spans="1:11" x14ac:dyDescent="0.35">
      <c r="A14" s="7" t="s">
        <v>1</v>
      </c>
      <c r="B14" s="7" t="s">
        <v>35</v>
      </c>
      <c r="C14" s="7" t="s">
        <v>36</v>
      </c>
      <c r="D14" s="7" t="s">
        <v>37</v>
      </c>
    </row>
    <row r="15" spans="1:11" x14ac:dyDescent="0.35">
      <c r="A15" s="8" t="s">
        <v>12</v>
      </c>
      <c r="B15" s="8">
        <f t="shared" ref="B15:B20" si="0">IF(E5="DESC",0,MOD(TIMEVALUE(RIGHT(E5,5))-TIMEVALUE(LEFT(E5,5)),1)*24)+IF(F5="DESC",0,MOD(TIMEVALUE(RIGHT(F5,5))-TIMEVALUE(LEFT(F5,5)),1)*24)+IF(G5="DESC",0,MOD(TIMEVALUE(RIGHT(G5,5))-TIMEVALUE(LEFT(G5,5)),1)*24)+IF(H5="DESC",0,MOD(TIMEVALUE(RIGHT(H5,5))-TIMEVALUE(LEFT(H5,5)),1)*24)+IF(I5="DESC",0,MOD(TIMEVALUE(RIGHT(I5,5))-TIMEVALUE(LEFT(I5,5)),1)*24)+IF(J5="DESC",0,MOD(TIMEVALUE(RIGHT(J5,5))-TIMEVALUE(LEFT(J5,5)),1)*24)+IF(K5="DESC",0,MOD(TIMEVALUE(RIGHT(K5,5))-TIMEVALUE(LEFT(K5,5)),1)*24)</f>
        <v>45</v>
      </c>
      <c r="C15" s="8">
        <v>45</v>
      </c>
      <c r="D15" s="8" t="str">
        <f t="shared" ref="D15:D20" si="1">IF(ABS(B15-C15)&lt;0.01,"Cumple","Revisar")</f>
        <v>Cumple</v>
      </c>
    </row>
    <row r="16" spans="1:11" x14ac:dyDescent="0.35">
      <c r="A16" s="8" t="s">
        <v>18</v>
      </c>
      <c r="B16" s="8">
        <f t="shared" si="0"/>
        <v>45.000000000000007</v>
      </c>
      <c r="C16" s="8">
        <v>45</v>
      </c>
      <c r="D16" s="8" t="str">
        <f t="shared" si="1"/>
        <v>Cumple</v>
      </c>
    </row>
    <row r="17" spans="1:11" x14ac:dyDescent="0.35">
      <c r="A17" s="8" t="s">
        <v>19</v>
      </c>
      <c r="B17" s="8">
        <f t="shared" si="0"/>
        <v>45</v>
      </c>
      <c r="C17" s="8">
        <v>45</v>
      </c>
      <c r="D17" s="8" t="str">
        <f t="shared" si="1"/>
        <v>Cumple</v>
      </c>
    </row>
    <row r="18" spans="1:11" x14ac:dyDescent="0.35">
      <c r="A18" s="8" t="s">
        <v>24</v>
      </c>
      <c r="B18" s="8">
        <f t="shared" si="0"/>
        <v>45</v>
      </c>
      <c r="C18" s="8">
        <v>45</v>
      </c>
      <c r="D18" s="8" t="str">
        <f t="shared" si="1"/>
        <v>Cumple</v>
      </c>
    </row>
    <row r="19" spans="1:11" x14ac:dyDescent="0.35">
      <c r="A19" s="8" t="s">
        <v>27</v>
      </c>
      <c r="B19" s="8">
        <f t="shared" si="0"/>
        <v>45</v>
      </c>
      <c r="C19" s="8">
        <v>45</v>
      </c>
      <c r="D19" s="8" t="str">
        <f t="shared" si="1"/>
        <v>Cumple</v>
      </c>
    </row>
    <row r="20" spans="1:11" x14ac:dyDescent="0.35">
      <c r="A20" s="8" t="s">
        <v>31</v>
      </c>
      <c r="B20" s="8">
        <f t="shared" si="0"/>
        <v>41.999999999999993</v>
      </c>
      <c r="C20" s="8">
        <v>42</v>
      </c>
      <c r="D20" s="8" t="str">
        <f t="shared" si="1"/>
        <v>Cumple</v>
      </c>
    </row>
    <row r="23" spans="1:11" x14ac:dyDescent="0.35">
      <c r="A23" s="16" t="s">
        <v>38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30" customHeight="1" x14ac:dyDescent="0.35">
      <c r="A24" s="13" t="s">
        <v>39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30" customHeight="1" x14ac:dyDescent="0.35">
      <c r="A25" s="13" t="s">
        <v>40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30" customHeight="1" x14ac:dyDescent="0.35">
      <c r="A26" s="13" t="s">
        <v>41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30" customHeight="1" x14ac:dyDescent="0.35">
      <c r="A27" s="13" t="s">
        <v>42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30" customHeight="1" x14ac:dyDescent="0.35">
      <c r="A28" s="13" t="s">
        <v>43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 ht="30" customHeight="1" x14ac:dyDescent="0.35">
      <c r="A29" s="13" t="s">
        <v>44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9">
    <mergeCell ref="A26:K26"/>
    <mergeCell ref="A29:K29"/>
    <mergeCell ref="A1:K2"/>
    <mergeCell ref="A25:K25"/>
    <mergeCell ref="A24:K24"/>
    <mergeCell ref="A28:K28"/>
    <mergeCell ref="A23:K23"/>
    <mergeCell ref="A13:D13"/>
    <mergeCell ref="A27:K27"/>
  </mergeCells>
  <conditionalFormatting sqref="D15:D20">
    <cfRule type="cellIs" dxfId="0" priority="1" operator="equal">
      <formula>"Cumple"</formula>
    </cfRule>
  </conditionalFormatting>
  <pageMargins left="0.75" right="0.75" top="1" bottom="1" header="0.5" footer="0.5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showGridLines="0" workbookViewId="0"/>
  </sheetViews>
  <sheetFormatPr baseColWidth="10" defaultColWidth="8.7265625" defaultRowHeight="14.5" x14ac:dyDescent="0.35"/>
  <cols>
    <col min="1" max="1" width="15" customWidth="1"/>
    <col min="2" max="2" width="24" customWidth="1"/>
    <col min="3" max="4" width="19" customWidth="1"/>
    <col min="5" max="6" width="28" customWidth="1"/>
    <col min="7" max="7" width="15" customWidth="1"/>
  </cols>
  <sheetData>
    <row r="1" spans="1:7" x14ac:dyDescent="0.35">
      <c r="A1" s="17" t="s">
        <v>45</v>
      </c>
      <c r="B1" s="14"/>
      <c r="C1" s="14"/>
      <c r="D1" s="14"/>
      <c r="E1" s="14"/>
      <c r="F1" s="14"/>
      <c r="G1" s="14"/>
    </row>
    <row r="2" spans="1:7" x14ac:dyDescent="0.35">
      <c r="A2" s="14"/>
      <c r="B2" s="14"/>
      <c r="C2" s="14"/>
      <c r="D2" s="14"/>
      <c r="E2" s="14"/>
      <c r="F2" s="14"/>
      <c r="G2" s="14"/>
    </row>
    <row r="4" spans="1:7" x14ac:dyDescent="0.35">
      <c r="A4" s="9" t="s">
        <v>46</v>
      </c>
      <c r="B4" s="9" t="s">
        <v>47</v>
      </c>
      <c r="C4" s="9" t="s">
        <v>48</v>
      </c>
      <c r="D4" s="9" t="s">
        <v>49</v>
      </c>
      <c r="E4" s="9" t="s">
        <v>50</v>
      </c>
      <c r="F4" s="9" t="s">
        <v>51</v>
      </c>
      <c r="G4" s="9" t="s">
        <v>52</v>
      </c>
    </row>
    <row r="5" spans="1:7" x14ac:dyDescent="0.35">
      <c r="A5" s="8" t="s">
        <v>5</v>
      </c>
      <c r="B5" s="8">
        <v>0</v>
      </c>
      <c r="C5" s="8">
        <v>1</v>
      </c>
      <c r="D5" s="8">
        <v>3</v>
      </c>
      <c r="E5" s="8">
        <v>240</v>
      </c>
      <c r="F5" s="8">
        <v>120</v>
      </c>
      <c r="G5" s="10" t="s">
        <v>53</v>
      </c>
    </row>
    <row r="6" spans="1:7" x14ac:dyDescent="0.35">
      <c r="A6" s="8" t="s">
        <v>6</v>
      </c>
      <c r="B6" s="8">
        <v>0</v>
      </c>
      <c r="C6" s="8">
        <v>1</v>
      </c>
      <c r="D6" s="8">
        <v>2</v>
      </c>
      <c r="E6" s="8">
        <v>240</v>
      </c>
      <c r="F6" s="8">
        <v>120</v>
      </c>
      <c r="G6" s="10" t="s">
        <v>53</v>
      </c>
    </row>
    <row r="7" spans="1:7" x14ac:dyDescent="0.35">
      <c r="A7" s="8" t="s">
        <v>7</v>
      </c>
      <c r="B7" s="8">
        <v>0</v>
      </c>
      <c r="C7" s="8">
        <v>1</v>
      </c>
      <c r="D7" s="8">
        <v>2</v>
      </c>
      <c r="E7" s="8">
        <v>240</v>
      </c>
      <c r="F7" s="8">
        <v>120</v>
      </c>
      <c r="G7" s="10" t="s">
        <v>53</v>
      </c>
    </row>
    <row r="8" spans="1:7" x14ac:dyDescent="0.35">
      <c r="A8" s="8" t="s">
        <v>8</v>
      </c>
      <c r="B8" s="8">
        <v>0</v>
      </c>
      <c r="C8" s="8">
        <v>1</v>
      </c>
      <c r="D8" s="8">
        <v>3</v>
      </c>
      <c r="E8" s="8">
        <v>570</v>
      </c>
      <c r="F8" s="8">
        <v>570</v>
      </c>
      <c r="G8" s="10" t="s">
        <v>53</v>
      </c>
    </row>
    <row r="9" spans="1:7" x14ac:dyDescent="0.35">
      <c r="A9" s="8" t="s">
        <v>9</v>
      </c>
      <c r="B9" s="8">
        <v>0</v>
      </c>
      <c r="C9" s="8">
        <v>1</v>
      </c>
      <c r="D9" s="8">
        <v>3</v>
      </c>
      <c r="E9" s="8">
        <v>120</v>
      </c>
      <c r="F9" s="8">
        <v>120</v>
      </c>
      <c r="G9" s="10" t="s">
        <v>53</v>
      </c>
    </row>
    <row r="10" spans="1:7" x14ac:dyDescent="0.35">
      <c r="A10" s="8" t="s">
        <v>10</v>
      </c>
      <c r="B10" s="8">
        <v>0</v>
      </c>
      <c r="C10" s="8">
        <v>1</v>
      </c>
      <c r="D10" s="8">
        <v>2</v>
      </c>
      <c r="E10" s="8">
        <v>240</v>
      </c>
      <c r="F10" s="8">
        <v>120</v>
      </c>
      <c r="G10" s="10" t="s">
        <v>53</v>
      </c>
    </row>
    <row r="11" spans="1:7" x14ac:dyDescent="0.35">
      <c r="A11" s="8" t="s">
        <v>11</v>
      </c>
      <c r="B11" s="8">
        <v>0</v>
      </c>
      <c r="C11" s="8">
        <v>1</v>
      </c>
      <c r="D11" s="8">
        <v>2</v>
      </c>
      <c r="E11" s="8">
        <v>240</v>
      </c>
      <c r="F11" s="8">
        <v>120</v>
      </c>
      <c r="G11" s="10" t="s">
        <v>53</v>
      </c>
    </row>
    <row r="14" spans="1:7" x14ac:dyDescent="0.35">
      <c r="A14" s="7" t="s">
        <v>54</v>
      </c>
      <c r="B14" s="7" t="s">
        <v>55</v>
      </c>
      <c r="C14" s="7" t="s">
        <v>56</v>
      </c>
      <c r="D14" s="7" t="s">
        <v>57</v>
      </c>
      <c r="E14" s="7" t="s">
        <v>37</v>
      </c>
    </row>
    <row r="15" spans="1:7" x14ac:dyDescent="0.35">
      <c r="A15" s="8" t="s">
        <v>58</v>
      </c>
      <c r="B15" s="8">
        <v>0</v>
      </c>
      <c r="C15" s="8">
        <v>31.5</v>
      </c>
      <c r="D15" s="8" t="s">
        <v>59</v>
      </c>
      <c r="E15" s="8" t="s">
        <v>60</v>
      </c>
    </row>
  </sheetData>
  <mergeCells count="1">
    <mergeCell ref="A1:G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/>
  </sheetViews>
  <sheetFormatPr baseColWidth="10" defaultColWidth="8.7265625" defaultRowHeight="14.5" x14ac:dyDescent="0.35"/>
  <cols>
    <col min="1" max="1" width="16" customWidth="1"/>
    <col min="2" max="3" width="18" customWidth="1"/>
    <col min="4" max="4" width="40" customWidth="1"/>
    <col min="5" max="5" width="32" customWidth="1"/>
  </cols>
  <sheetData>
    <row r="1" spans="1:5" x14ac:dyDescent="0.35">
      <c r="A1" s="17" t="s">
        <v>61</v>
      </c>
      <c r="B1" s="14"/>
      <c r="C1" s="14"/>
      <c r="D1" s="14"/>
      <c r="E1" s="14"/>
    </row>
    <row r="2" spans="1:5" x14ac:dyDescent="0.35">
      <c r="A2" s="14"/>
      <c r="B2" s="14"/>
      <c r="C2" s="14"/>
      <c r="D2" s="14"/>
      <c r="E2" s="14"/>
    </row>
    <row r="4" spans="1:5" x14ac:dyDescent="0.35">
      <c r="A4" s="11" t="s">
        <v>62</v>
      </c>
      <c r="B4" s="11" t="s">
        <v>63</v>
      </c>
      <c r="C4" s="11" t="s">
        <v>64</v>
      </c>
      <c r="D4" s="11" t="s">
        <v>65</v>
      </c>
      <c r="E4" s="11" t="s">
        <v>66</v>
      </c>
    </row>
    <row r="5" spans="1:5" x14ac:dyDescent="0.35">
      <c r="A5" s="12" t="s">
        <v>14</v>
      </c>
      <c r="B5" s="12" t="s">
        <v>15</v>
      </c>
      <c r="C5" s="12" t="s">
        <v>67</v>
      </c>
      <c r="D5" s="12" t="s">
        <v>68</v>
      </c>
      <c r="E5" s="12" t="s">
        <v>69</v>
      </c>
    </row>
    <row r="6" spans="1:5" x14ac:dyDescent="0.35">
      <c r="A6" s="12" t="s">
        <v>25</v>
      </c>
      <c r="B6" s="12" t="s">
        <v>15</v>
      </c>
      <c r="C6" s="12" t="s">
        <v>67</v>
      </c>
      <c r="D6" s="12" t="s">
        <v>70</v>
      </c>
      <c r="E6" s="12" t="s">
        <v>71</v>
      </c>
    </row>
    <row r="7" spans="1:5" x14ac:dyDescent="0.35">
      <c r="A7" s="12" t="s">
        <v>32</v>
      </c>
      <c r="B7" s="12" t="s">
        <v>33</v>
      </c>
      <c r="C7" s="12" t="s">
        <v>72</v>
      </c>
      <c r="D7" s="12" t="s">
        <v>30</v>
      </c>
      <c r="E7" s="12" t="s">
        <v>73</v>
      </c>
    </row>
    <row r="10" spans="1:5" x14ac:dyDescent="0.35">
      <c r="A10" t="s">
        <v>74</v>
      </c>
      <c r="B10" s="14" t="s">
        <v>75</v>
      </c>
      <c r="C10" s="14"/>
      <c r="D10" s="14"/>
      <c r="E10" s="14"/>
    </row>
  </sheetData>
  <mergeCells count="2">
    <mergeCell ref="B10:E10"/>
    <mergeCell ref="A1:E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2A2C16D29BC944B585D2DADDEA0683" ma:contentTypeVersion="15" ma:contentTypeDescription="Crear nuevo documento." ma:contentTypeScope="" ma:versionID="3b9c6561d53d3f2989c4ea844dc5ae0b">
  <xsd:schema xmlns:xsd="http://www.w3.org/2001/XMLSchema" xmlns:xs="http://www.w3.org/2001/XMLSchema" xmlns:p="http://schemas.microsoft.com/office/2006/metadata/properties" xmlns:ns2="525f3f37-c743-4991-9880-a3cded964a54" xmlns:ns3="49b7f71e-c949-44b0-9200-92cc733fd07d" targetNamespace="http://schemas.microsoft.com/office/2006/metadata/properties" ma:root="true" ma:fieldsID="c34f86796e5de7207cab48b17276ff20" ns2:_="" ns3:_="">
    <xsd:import namespace="525f3f37-c743-4991-9880-a3cded964a54"/>
    <xsd:import namespace="49b7f71e-c949-44b0-9200-92cc733fd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f3f37-c743-4991-9880-a3cded964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157f36d-c628-4389-a032-efa9ff4d60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7f71e-c949-44b0-9200-92cc733fd07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cd86d12-c474-4139-905a-36d149b96a53}" ma:internalName="TaxCatchAll" ma:showField="CatchAllData" ma:web="49b7f71e-c949-44b0-9200-92cc733fd0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5f3f37-c743-4991-9880-a3cded964a54">
      <Terms xmlns="http://schemas.microsoft.com/office/infopath/2007/PartnerControls"/>
    </lcf76f155ced4ddcb4097134ff3c332f>
    <TaxCatchAll xmlns="49b7f71e-c949-44b0-9200-92cc733fd07d" xsi:nil="true"/>
  </documentManagement>
</p:properties>
</file>

<file path=customXml/itemProps1.xml><?xml version="1.0" encoding="utf-8"?>
<ds:datastoreItem xmlns:ds="http://schemas.openxmlformats.org/officeDocument/2006/customXml" ds:itemID="{BCCD2C7B-4F2F-4EF7-9040-70B9B24AA5BF}"/>
</file>

<file path=customXml/itemProps2.xml><?xml version="1.0" encoding="utf-8"?>
<ds:datastoreItem xmlns:ds="http://schemas.openxmlformats.org/officeDocument/2006/customXml" ds:itemID="{1C655BEA-207E-4F29-B8AF-66D6ABFCD2AA}"/>
</file>

<file path=customXml/itemProps3.xml><?xml version="1.0" encoding="utf-8"?>
<ds:datastoreItem xmlns:ds="http://schemas.openxmlformats.org/officeDocument/2006/customXml" ds:itemID="{5DB8909E-41F3-484B-A933-458DE7E2CE72}"/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Horario semanal</vt:lpstr>
      <vt:lpstr>Validación cobertura</vt:lpstr>
      <vt:lpstr>Matriz de referencia</vt:lpstr>
      <vt:lpstr>'Horario semanal'!Área_de_impresión</vt:lpstr>
      <vt:lpstr>'Validación cobertura'!Área_de_impresión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Shadia Hussein Mroue Ruiz</dc:creator>
  <cp:keywords/>
  <dc:description/>
  <cp:lastModifiedBy>Shadia Hussein Mroue Ruiz</cp:lastModifiedBy>
  <cp:revision/>
  <dcterms:created xsi:type="dcterms:W3CDTF">2026-09-21T20:59:26Z</dcterms:created>
  <dcterms:modified xsi:type="dcterms:W3CDTF">2026-09-21T21:49:42Z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0x010100612A2C16D29BC944B585D2DADDEA0683</vt:lpwstr>
  </property>
</Properties>
</file>