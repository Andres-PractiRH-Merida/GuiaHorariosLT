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Metadata/LabelInfo.xml" ContentType="application/vnd.ms-office.classificationlabel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11_AB584FE323E235A23ADA3EB33B1BD6C8F6181DD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rario semanal" sheetId="1" r:id="rId1"/>
    <sheet name="Validación cobertura" sheetId="2" r:id="rId2"/>
  </sheets>
  <definedNames>
    <definedName name="_xlnm.Print_Area" localSheetId="0">'Horario semanal'!$A$1:$I$24</definedName>
    <definedName name="_xlnm.Print_Area" localSheetId="1">'Validación cobertura'!$A$1:$E$15</definedName>
  </definedNames>
  <calcPr calcId="0" fullCalcOnLoad="1" forceFullCalc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B16" i="1"/>
  <c r="D15" i="1"/>
  <c r="B15" i="1"/>
  <c r="D14" i="1"/>
  <c r="B14" i="1"/>
  <c r="D13" i="1"/>
  <c r="B13" i="1"/>
</calcChain>
</file>

<file path=xl/sharedStrings.xml><?xml version="1.0" encoding="utf-8"?>
<sst xmlns="http://schemas.openxmlformats.org/spreadsheetml/2006/main" count="89" uniqueCount="49">
  <si>
    <t>HORARIO SEMANAL - 4 PERSONAS | OPERACIÓN 06:00 A 00:00</t>
  </si>
  <si>
    <t>Colaborador</t>
  </si>
  <si>
    <t>Esquema</t>
  </si>
  <si>
    <t>Lun</t>
  </si>
  <si>
    <t>Mar</t>
  </si>
  <si>
    <t>Mié</t>
  </si>
  <si>
    <t>Jue</t>
  </si>
  <si>
    <t>Vie</t>
  </si>
  <si>
    <t>Sáb</t>
  </si>
  <si>
    <t>Dom</t>
  </si>
  <si>
    <t>C1</t>
  </si>
  <si>
    <t>6x1 (45 h)</t>
  </si>
  <si>
    <t>06:00-13:30</t>
  </si>
  <si>
    <t>DESC</t>
  </si>
  <si>
    <t>C2</t>
  </si>
  <si>
    <t>08:30-17:00</t>
  </si>
  <si>
    <t>09:00-15:30</t>
  </si>
  <si>
    <t>09:00-16:00</t>
  </si>
  <si>
    <t>C3</t>
  </si>
  <si>
    <t>17:00-00:00</t>
  </si>
  <si>
    <t>12:00-19:30</t>
  </si>
  <si>
    <t>12:00-20:00</t>
  </si>
  <si>
    <t>C4</t>
  </si>
  <si>
    <t>6x1 N42 (42 h)</t>
  </si>
  <si>
    <t>RESUMEN DE HORAS</t>
  </si>
  <si>
    <t>Horas programadas</t>
  </si>
  <si>
    <t>Meta semanal</t>
  </si>
  <si>
    <t>Estatus</t>
  </si>
  <si>
    <t>NOTAS OPERATIVAS</t>
  </si>
  <si>
    <t>• Todos los colaboradores operan en esquema 6x1.</t>
  </si>
  <si>
    <t>• C4 trabaja 6 jornadas de 17:00-00:00: 42 horas semanales.</t>
  </si>
  <si>
    <t>• El martes C3 cubre el descanso del nocturno con la jornada completa N42 de 17:00-00:00.</t>
  </si>
  <si>
    <t>• C3 conserva 45 horas semanales mediante una jornada de 8 horas, cuatro de 7.5 horas y una cobertura N42 de 7 horas.</t>
  </si>
  <si>
    <t>• Cobertura continua de 06:00 a 00:00 validada todos los días, sin minutos sin cobertura.</t>
  </si>
  <si>
    <t>VALIDACIÓN DE COBERTURA EN INTERVALOS DE 15 MINUTOS</t>
  </si>
  <si>
    <t>Día</t>
  </si>
  <si>
    <t>Minutos sin cobertura</t>
  </si>
  <si>
    <t>Cobertura mínima</t>
  </si>
  <si>
    <t>Máx. tramo solo (min)</t>
  </si>
  <si>
    <t>Resultado</t>
  </si>
  <si>
    <t>Cumple</t>
  </si>
  <si>
    <t>Criterio</t>
  </si>
  <si>
    <t>Cobertura requerida</t>
  </si>
  <si>
    <t>Intervalo de revisión</t>
  </si>
  <si>
    <t>Resultado semanal</t>
  </si>
  <si>
    <t>Sin huecos</t>
  </si>
  <si>
    <t>06:00-00:00</t>
  </si>
  <si>
    <t>15 minutos</t>
  </si>
  <si>
    <t>CUMPLE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</si>
</sst>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1"/>
      <color rgb="FFFFFFFF"/>
      <name val="Calibri"/>
    </font>
    <font>
      <b/>
      <sz val="10"/>
      <color rgb="FF404040"/>
      <name val="Calibri"/>
    </font>
    <font>
      <sz val="10"/>
      <color rgb="FF404040"/>
      <name val="Calibri"/>
    </font>
    <font>
      <b/>
      <sz val="16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4478F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5B9BD5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0" borderId="0" xfId="0" applyAlignment="1"/>
    <xf numFmtId="0" fontId="2" fillId="2" borderId="0" xfId="0" applyFont="1" applyFill="1" applyAlignment="1"/>
  </cellXfs>
  <cellStyles count="1">
    <cellStyle name="Normal" xfId="0" builtinId="0"/>
  </cellStyles>
  <dxfs count="1">
    <dxf>
      <fill>
        <patternFill patternType="solid">
          <f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rario4P" displayName="Horario4P" ref="A4:I8">
  <autoFilter ref="A4:I8" xr:uid="{00000000-0009-0000-0100-000001000000}"/>
  <tableColumns count="9">
    <tableColumn id="1" xr3:uid="{00000000-0010-0000-0000-000001000000}" name="Colaborador"/>
    <tableColumn id="2" xr3:uid="{00000000-0010-0000-0000-000002000000}" name="Esquema"/>
    <tableColumn id="3" xr3:uid="{00000000-0010-0000-0000-000003000000}" name="Lun"/>
    <tableColumn id="4" xr3:uid="{00000000-0010-0000-0000-000004000000}" name="Mar"/>
    <tableColumn id="5" xr3:uid="{00000000-0010-0000-0000-000005000000}" name="Mié"/>
    <tableColumn id="6" xr3:uid="{00000000-0010-0000-0000-000006000000}" name="Jue"/>
    <tableColumn id="7" xr3:uid="{00000000-0010-0000-0000-000007000000}" name="Vie"/>
    <tableColumn id="8" xr3:uid="{00000000-0010-0000-0000-000008000000}" name="Sáb"/>
    <tableColumn id="9" xr3:uid="{00000000-0010-0000-0000-000009000000}" name="Dom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4"/>
  <sheetViews>
    <sheetView showGridLines="0" tabSelected="1" workbookViewId="0">
      <pane xSplit="2" ySplit="4" topLeftCell="C5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20" customWidth="1"/>
    <col min="3" max="9" width="17" customWidth="1"/>
  </cols>
  <sheetData>
    <row r="1" spans="1:9">
      <c r="A1" s="12" t="s">
        <v>0</v>
      </c>
      <c r="B1" s="14"/>
      <c r="C1" s="14"/>
      <c r="D1" s="14"/>
      <c r="E1" s="14"/>
      <c r="F1" s="14"/>
      <c r="G1" s="14"/>
      <c r="H1" s="14"/>
      <c r="I1" s="14"/>
    </row>
    <row r="2" spans="1:9">
      <c r="A2" s="14"/>
      <c r="B2" s="14"/>
      <c r="C2" s="14"/>
      <c r="D2" s="14"/>
      <c r="E2" s="14"/>
      <c r="F2" s="14"/>
      <c r="G2" s="14"/>
      <c r="H2" s="14"/>
      <c r="I2" s="14"/>
    </row>
    <row r="4" spans="1:9" ht="36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36" customHeight="1">
      <c r="A5" s="2" t="s">
        <v>10</v>
      </c>
      <c r="B5" s="2" t="s">
        <v>11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4" t="s">
        <v>13</v>
      </c>
    </row>
    <row r="6" spans="1:9" ht="36" customHeight="1">
      <c r="A6" s="2" t="s">
        <v>14</v>
      </c>
      <c r="B6" s="2" t="s">
        <v>11</v>
      </c>
      <c r="C6" s="3" t="s">
        <v>15</v>
      </c>
      <c r="D6" s="3" t="s">
        <v>15</v>
      </c>
      <c r="E6" s="4" t="s">
        <v>13</v>
      </c>
      <c r="F6" s="3" t="s">
        <v>16</v>
      </c>
      <c r="G6" s="3" t="s">
        <v>17</v>
      </c>
      <c r="H6" s="3" t="s">
        <v>17</v>
      </c>
      <c r="I6" s="3" t="s">
        <v>12</v>
      </c>
    </row>
    <row r="7" spans="1:9" ht="36" customHeight="1">
      <c r="A7" s="2" t="s">
        <v>18</v>
      </c>
      <c r="B7" s="2" t="s">
        <v>11</v>
      </c>
      <c r="C7" s="4" t="s">
        <v>13</v>
      </c>
      <c r="D7" s="5" t="s">
        <v>19</v>
      </c>
      <c r="E7" s="6" t="s">
        <v>20</v>
      </c>
      <c r="F7" s="6" t="s">
        <v>20</v>
      </c>
      <c r="G7" s="6" t="s">
        <v>20</v>
      </c>
      <c r="H7" s="6" t="s">
        <v>21</v>
      </c>
      <c r="I7" s="6" t="s">
        <v>20</v>
      </c>
    </row>
    <row r="8" spans="1:9" ht="36" customHeight="1">
      <c r="A8" s="2" t="s">
        <v>22</v>
      </c>
      <c r="B8" s="2" t="s">
        <v>23</v>
      </c>
      <c r="C8" s="5" t="s">
        <v>19</v>
      </c>
      <c r="D8" s="4" t="s">
        <v>13</v>
      </c>
      <c r="E8" s="5" t="s">
        <v>19</v>
      </c>
      <c r="F8" s="5" t="s">
        <v>19</v>
      </c>
      <c r="G8" s="5" t="s">
        <v>19</v>
      </c>
      <c r="H8" s="5" t="s">
        <v>19</v>
      </c>
      <c r="I8" s="5" t="s">
        <v>19</v>
      </c>
    </row>
    <row r="11" spans="1:9">
      <c r="A11" s="15" t="s">
        <v>24</v>
      </c>
      <c r="B11" s="14"/>
      <c r="C11" s="14"/>
      <c r="D11" s="14"/>
    </row>
    <row r="12" spans="1:9">
      <c r="A12" s="7" t="s">
        <v>1</v>
      </c>
      <c r="B12" s="7" t="s">
        <v>25</v>
      </c>
      <c r="C12" s="7" t="s">
        <v>26</v>
      </c>
      <c r="D12" s="7" t="s">
        <v>27</v>
      </c>
    </row>
    <row r="13" spans="1:9">
      <c r="A13" s="8" t="s">
        <v>10</v>
      </c>
      <c r="B13" s="8" t="str">
        <f>IF(C5="DESC",0,MOD(TIMEVALUE(RIGHT(C5,5))-TIMEVALUE(LEFT(C5,5)),1)*24)+IF(D5="DESC",0,MOD(TIMEVALUE(RIGHT(D5,5))-TIMEVALUE(LEFT(D5,5)),1)*24)+IF(E5="DESC",0,MOD(TIMEVALUE(RIGHT(E5,5))-TIMEVALUE(LEFT(E5,5)),1)*24)+IF(F5="DESC",0,MOD(TIMEVALUE(RIGHT(F5,5))-TIMEVALUE(LEFT(F5,5)),1)*24)+IF(G5="DESC",0,MOD(TIMEVALUE(RIGHT(G5,5))-TIMEVALUE(LEFT(G5,5)),1)*24)+IF(H5="DESC",0,MOD(TIMEVALUE(RIGHT(H5,5))-TIMEVALUE(LEFT(H5,5)),1)*24)+IF(I5="DESC",0,MOD(TIMEVALUE(RIGHT(I5,5))-TIMEVALUE(LEFT(I5,5)),1)*24)</f>
        <v/>
      </c>
      <c r="C13" s="8">
        <v>45</v>
      </c>
      <c r="D13" s="8" t="str">
        <f>IF(ABS(B13-C13)&lt;0.01,"Cumple","Revisar")</f>
        <v/>
      </c>
    </row>
    <row r="14" spans="1:9">
      <c r="A14" s="8" t="s">
        <v>14</v>
      </c>
      <c r="B14" s="8" t="str">
        <f>IF(C6="DESC",0,MOD(TIMEVALUE(RIGHT(C6,5))-TIMEVALUE(LEFT(C6,5)),1)*24)+IF(D6="DESC",0,MOD(TIMEVALUE(RIGHT(D6,5))-TIMEVALUE(LEFT(D6,5)),1)*24)+IF(E6="DESC",0,MOD(TIMEVALUE(RIGHT(E6,5))-TIMEVALUE(LEFT(E6,5)),1)*24)+IF(F6="DESC",0,MOD(TIMEVALUE(RIGHT(F6,5))-TIMEVALUE(LEFT(F6,5)),1)*24)+IF(G6="DESC",0,MOD(TIMEVALUE(RIGHT(G6,5))-TIMEVALUE(LEFT(G6,5)),1)*24)+IF(H6="DESC",0,MOD(TIMEVALUE(RIGHT(H6,5))-TIMEVALUE(LEFT(H6,5)),1)*24)+IF(I6="DESC",0,MOD(TIMEVALUE(RIGHT(I6,5))-TIMEVALUE(LEFT(I6,5)),1)*24)</f>
        <v/>
      </c>
      <c r="C14" s="8">
        <v>45</v>
      </c>
      <c r="D14" s="8" t="str">
        <f>IF(ABS(B14-C14)&lt;0.01,"Cumple","Revisar")</f>
        <v/>
      </c>
    </row>
    <row r="15" spans="1:9">
      <c r="A15" s="8" t="s">
        <v>18</v>
      </c>
      <c r="B15" s="8" t="str">
        <f>IF(C7="DESC",0,MOD(TIMEVALUE(RIGHT(C7,5))-TIMEVALUE(LEFT(C7,5)),1)*24)+IF(D7="DESC",0,MOD(TIMEVALUE(RIGHT(D7,5))-TIMEVALUE(LEFT(D7,5)),1)*24)+IF(E7="DESC",0,MOD(TIMEVALUE(RIGHT(E7,5))-TIMEVALUE(LEFT(E7,5)),1)*24)+IF(F7="DESC",0,MOD(TIMEVALUE(RIGHT(F7,5))-TIMEVALUE(LEFT(F7,5)),1)*24)+IF(G7="DESC",0,MOD(TIMEVALUE(RIGHT(G7,5))-TIMEVALUE(LEFT(G7,5)),1)*24)+IF(H7="DESC",0,MOD(TIMEVALUE(RIGHT(H7,5))-TIMEVALUE(LEFT(H7,5)),1)*24)+IF(I7="DESC",0,MOD(TIMEVALUE(RIGHT(I7,5))-TIMEVALUE(LEFT(I7,5)),1)*24)</f>
        <v/>
      </c>
      <c r="C15" s="8">
        <v>45</v>
      </c>
      <c r="D15" s="8" t="str">
        <f>IF(ABS(B15-C15)&lt;0.01,"Cumple","Revisar")</f>
        <v/>
      </c>
    </row>
    <row r="16" spans="1:9">
      <c r="A16" s="8" t="s">
        <v>22</v>
      </c>
      <c r="B16" s="8" t="str">
        <f>IF(C8="DESC",0,MOD(TIMEVALUE(RIGHT(C8,5))-TIMEVALUE(LEFT(C8,5)),1)*24)+IF(D8="DESC",0,MOD(TIMEVALUE(RIGHT(D8,5))-TIMEVALUE(LEFT(D8,5)),1)*24)+IF(E8="DESC",0,MOD(TIMEVALUE(RIGHT(E8,5))-TIMEVALUE(LEFT(E8,5)),1)*24)+IF(F8="DESC",0,MOD(TIMEVALUE(RIGHT(F8,5))-TIMEVALUE(LEFT(F8,5)),1)*24)+IF(G8="DESC",0,MOD(TIMEVALUE(RIGHT(G8,5))-TIMEVALUE(LEFT(G8,5)),1)*24)+IF(H8="DESC",0,MOD(TIMEVALUE(RIGHT(H8,5))-TIMEVALUE(LEFT(H8,5)),1)*24)+IF(I8="DESC",0,MOD(TIMEVALUE(RIGHT(I8,5))-TIMEVALUE(LEFT(I8,5)),1)*24)</f>
        <v/>
      </c>
      <c r="C16" s="8">
        <v>42</v>
      </c>
      <c r="D16" s="8" t="str">
        <f>IF(ABS(B16-C16)&lt;0.01,"Cumple","Revisar")</f>
        <v/>
      </c>
    </row>
    <row r="19" spans="1:9">
      <c r="A19" s="15" t="s">
        <v>28</v>
      </c>
      <c r="B19" s="14"/>
      <c r="C19" s="14"/>
      <c r="D19" s="14"/>
      <c r="E19" s="14"/>
      <c r="F19" s="14"/>
      <c r="G19" s="14"/>
      <c r="H19" s="14"/>
      <c r="I19" s="14"/>
    </row>
    <row r="20" spans="1:9" ht="27.95" customHeight="1">
      <c r="A20" s="11" t="s">
        <v>29</v>
      </c>
      <c r="B20" s="14"/>
      <c r="C20" s="14"/>
      <c r="D20" s="14"/>
      <c r="E20" s="14"/>
      <c r="F20" s="14"/>
      <c r="G20" s="14"/>
      <c r="H20" s="14"/>
      <c r="I20" s="14"/>
    </row>
    <row r="21" spans="1:9" ht="27.95" customHeight="1">
      <c r="A21" s="11" t="s">
        <v>30</v>
      </c>
      <c r="B21" s="14"/>
      <c r="C21" s="14"/>
      <c r="D21" s="14"/>
      <c r="E21" s="14"/>
      <c r="F21" s="14"/>
      <c r="G21" s="14"/>
      <c r="H21" s="14"/>
      <c r="I21" s="14"/>
    </row>
    <row r="22" spans="1:9" ht="27.95" customHeight="1">
      <c r="A22" s="11" t="s">
        <v>31</v>
      </c>
      <c r="B22" s="14"/>
      <c r="C22" s="14"/>
      <c r="D22" s="14"/>
      <c r="E22" s="14"/>
      <c r="F22" s="14"/>
      <c r="G22" s="14"/>
      <c r="H22" s="14"/>
      <c r="I22" s="14"/>
    </row>
    <row r="23" spans="1:9" ht="27.95" customHeight="1">
      <c r="A23" s="11" t="s">
        <v>32</v>
      </c>
      <c r="B23" s="14"/>
      <c r="C23" s="14"/>
      <c r="D23" s="14"/>
      <c r="E23" s="14"/>
      <c r="F23" s="14"/>
      <c r="G23" s="14"/>
      <c r="H23" s="14"/>
      <c r="I23" s="14"/>
    </row>
    <row r="24" spans="1:9" ht="27.95" customHeight="1">
      <c r="A24" s="11" t="s">
        <v>33</v>
      </c>
      <c r="B24" s="14"/>
      <c r="C24" s="14"/>
      <c r="D24" s="14"/>
      <c r="E24" s="14"/>
      <c r="F24" s="14"/>
      <c r="G24" s="14"/>
      <c r="H24" s="14"/>
      <c r="I24" s="14"/>
    </row>
  </sheetData>
  <mergeCells count="8">
    <mergeCell ref="A19:I19"/>
    <mergeCell ref="A22:I22"/>
    <mergeCell ref="A23:I23"/>
    <mergeCell ref="A1:I2"/>
    <mergeCell ref="A24:I24"/>
    <mergeCell ref="A11:D11"/>
    <mergeCell ref="A20:I20"/>
    <mergeCell ref="A21:I21"/>
  </mergeCells>
  <conditionalFormatting sqref="D13:D16">
    <cfRule type="cellIs" dxfId="0" priority="1" operator="equal">
      <formula>"Cumple"</formula>
    </cfRule>
  </conditionalFormatting>
  <pageMargins left="0.75" right="0.75" top="1" bottom="1" header="0.5" footer="0.5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5"/>
  <sheetViews>
    <sheetView showGridLines="0" workbookViewId="0"/>
  </sheetViews>
  <sheetFormatPr defaultRowHeight="15"/>
  <cols>
    <col min="1" max="1" width="18" customWidth="1"/>
    <col min="2" max="2" width="24" customWidth="1"/>
    <col min="3" max="3" width="20" customWidth="1"/>
    <col min="4" max="4" width="24" customWidth="1"/>
    <col min="5" max="5" width="16" customWidth="1"/>
  </cols>
  <sheetData>
    <row r="1" spans="1:5">
      <c r="A1" s="13" t="s">
        <v>34</v>
      </c>
      <c r="B1" s="14"/>
      <c r="C1" s="14"/>
      <c r="D1" s="14"/>
      <c r="E1" s="14"/>
    </row>
    <row r="2" spans="1:5">
      <c r="A2" s="14"/>
      <c r="B2" s="14"/>
      <c r="C2" s="14"/>
      <c r="D2" s="14"/>
      <c r="E2" s="14"/>
    </row>
    <row r="4" spans="1:5">
      <c r="A4" s="9" t="s">
        <v>35</v>
      </c>
      <c r="B4" s="9" t="s">
        <v>36</v>
      </c>
      <c r="C4" s="9" t="s">
        <v>37</v>
      </c>
      <c r="D4" s="9" t="s">
        <v>38</v>
      </c>
      <c r="E4" s="9" t="s">
        <v>39</v>
      </c>
    </row>
    <row r="5" spans="1:5">
      <c r="A5" s="8" t="s">
        <v>3</v>
      </c>
      <c r="B5" s="8">
        <v>0</v>
      </c>
      <c r="C5" s="8">
        <v>1</v>
      </c>
      <c r="D5" s="8">
        <v>630</v>
      </c>
      <c r="E5" s="10" t="s">
        <v>40</v>
      </c>
    </row>
    <row r="6" spans="1:5">
      <c r="A6" s="8" t="s">
        <v>4</v>
      </c>
      <c r="B6" s="8">
        <v>0</v>
      </c>
      <c r="C6" s="8">
        <v>1</v>
      </c>
      <c r="D6" s="8">
        <v>630</v>
      </c>
      <c r="E6" s="10" t="s">
        <v>40</v>
      </c>
    </row>
    <row r="7" spans="1:5">
      <c r="A7" s="8" t="s">
        <v>5</v>
      </c>
      <c r="B7" s="8">
        <v>0</v>
      </c>
      <c r="C7" s="8">
        <v>1</v>
      </c>
      <c r="D7" s="8">
        <v>360</v>
      </c>
      <c r="E7" s="10" t="s">
        <v>40</v>
      </c>
    </row>
    <row r="8" spans="1:5">
      <c r="A8" s="8" t="s">
        <v>6</v>
      </c>
      <c r="B8" s="8">
        <v>0</v>
      </c>
      <c r="C8" s="8">
        <v>1</v>
      </c>
      <c r="D8" s="8">
        <v>270</v>
      </c>
      <c r="E8" s="10" t="s">
        <v>40</v>
      </c>
    </row>
    <row r="9" spans="1:5">
      <c r="A9" s="8" t="s">
        <v>7</v>
      </c>
      <c r="B9" s="8">
        <v>0</v>
      </c>
      <c r="C9" s="8">
        <v>1</v>
      </c>
      <c r="D9" s="8">
        <v>270</v>
      </c>
      <c r="E9" s="10" t="s">
        <v>40</v>
      </c>
    </row>
    <row r="10" spans="1:5">
      <c r="A10" s="8" t="s">
        <v>8</v>
      </c>
      <c r="B10" s="8">
        <v>0</v>
      </c>
      <c r="C10" s="8">
        <v>1</v>
      </c>
      <c r="D10" s="8">
        <v>240</v>
      </c>
      <c r="E10" s="10" t="s">
        <v>40</v>
      </c>
    </row>
    <row r="11" spans="1:5">
      <c r="A11" s="8" t="s">
        <v>9</v>
      </c>
      <c r="B11" s="8">
        <v>0</v>
      </c>
      <c r="C11" s="8">
        <v>1</v>
      </c>
      <c r="D11" s="8">
        <v>360</v>
      </c>
      <c r="E11" s="10" t="s">
        <v>40</v>
      </c>
    </row>
    <row r="14" spans="1:5">
      <c r="A14" s="7" t="s">
        <v>41</v>
      </c>
      <c r="B14" s="7" t="s">
        <v>42</v>
      </c>
      <c r="C14" s="7" t="s">
        <v>43</v>
      </c>
      <c r="D14" s="7" t="s">
        <v>44</v>
      </c>
    </row>
    <row r="15" spans="1:5">
      <c r="A15" s="8" t="s">
        <v>45</v>
      </c>
      <c r="B15" s="8" t="s">
        <v>46</v>
      </c>
      <c r="C15" s="8" t="s">
        <v>47</v>
      </c>
      <c r="D15" s="8" t="s">
        <v>48</v>
      </c>
    </row>
  </sheetData>
  <mergeCells count="1">
    <mergeCell ref="A1:E2"/>
  </mergeCells>
  <pageMargins left="0.75" right="0.75" top="1" bottom="1" header="0.5" footer="0.5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12A2C16D29BC944B585D2DADDEA0683" ma:contentTypeVersion="15" ma:contentTypeDescription="Crear nuevo documento." ma:contentTypeScope="" ma:versionID="3b9c6561d53d3f2989c4ea844dc5ae0b">
  <xsd:schema xmlns:xsd="http://www.w3.org/2001/XMLSchema" xmlns:xs="http://www.w3.org/2001/XMLSchema" xmlns:p="http://schemas.microsoft.com/office/2006/metadata/properties" xmlns:ns2="525f3f37-c743-4991-9880-a3cded964a54" xmlns:ns3="49b7f71e-c949-44b0-9200-92cc733fd07d" targetNamespace="http://schemas.microsoft.com/office/2006/metadata/properties" ma:root="true" ma:fieldsID="c34f86796e5de7207cab48b17276ff20" ns2:_="" ns3:_="">
    <xsd:import namespace="525f3f37-c743-4991-9880-a3cded964a54"/>
    <xsd:import namespace="49b7f71e-c949-44b0-9200-92cc733fd0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f3f37-c743-4991-9880-a3cded964a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157f36d-c628-4389-a032-efa9ff4d60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b7f71e-c949-44b0-9200-92cc733fd07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cd86d12-c474-4139-905a-36d149b96a53}" ma:internalName="TaxCatchAll" ma:showField="CatchAllData" ma:web="49b7f71e-c949-44b0-9200-92cc733fd0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5f3f37-c743-4991-9880-a3cded964a54">
      <Terms xmlns="http://schemas.microsoft.com/office/infopath/2007/PartnerControls"/>
    </lcf76f155ced4ddcb4097134ff3c332f>
    <TaxCatchAll xmlns="49b7f71e-c949-44b0-9200-92cc733fd07d" xsi:nil="true"/>
  </documentManagement>
</p:properties>
</file>

<file path=customXml/itemProps1.xml><?xml version="1.0" encoding="utf-8"?>
<ds:datastoreItem xmlns:ds="http://schemas.openxmlformats.org/officeDocument/2006/customXml" ds:itemID="{80375266-6D67-454F-B19B-DA564A7C025E}"/>
</file>

<file path=customXml/itemProps2.xml><?xml version="1.0" encoding="utf-8"?>
<ds:datastoreItem xmlns:ds="http://schemas.openxmlformats.org/officeDocument/2006/customXml" ds:itemID="{B4389D72-6A72-41D0-A227-3DF772ECCA33}"/>
</file>

<file path=customXml/itemProps3.xml><?xml version="1.0" encoding="utf-8"?>
<ds:datastoreItem xmlns:ds="http://schemas.openxmlformats.org/officeDocument/2006/customXml" ds:itemID="{D6D46C7F-EA8F-435A-98A7-DE01036D59F3}"/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Shadia Hussein Mroue Ruiz</dc:creator>
  <cp:keywords/>
  <dc:description/>
  <cp:lastModifiedBy>Shadia Hussein Mroue Ruiz</cp:lastModifiedBy>
  <cp:revision/>
  <dcterms:created xsi:type="dcterms:W3CDTF">2026-09-17T23:36:36Z</dcterms:created>
  <dcterms:modified xsi:type="dcterms:W3CDTF">2026-09-17T23:38:36Z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0x010100612A2C16D29BC944B585D2DADDEA0683</vt:lpwstr>
  </property>
</Properties>
</file>